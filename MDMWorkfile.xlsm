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en_skoroszyt" hidePivotFieldList="1"/>
  <mc:AlternateContent xmlns:mc="http://schemas.openxmlformats.org/markup-compatibility/2006">
    <mc:Choice Requires="x15">
      <x15ac:absPath xmlns:x15ac="http://schemas.microsoft.com/office/spreadsheetml/2010/11/ac" url="C:\Users\Adam\Downloads\"/>
    </mc:Choice>
  </mc:AlternateContent>
  <bookViews>
    <workbookView xWindow="0" yWindow="0" windowWidth="15345" windowHeight="4545" activeTab="1"/>
  </bookViews>
  <sheets>
    <sheet name="Requests" sheetId="2" r:id="rId1"/>
    <sheet name="2018" sheetId="1" r:id="rId2"/>
  </sheets>
  <externalReferences>
    <externalReference r:id="rId3"/>
  </externalReferences>
  <definedNames>
    <definedName name="Automatic_Material_Creation">Requests!$B$2:$B$5</definedName>
    <definedName name="Automatic_Material_Modification">Requests!$C$2:$C$5</definedName>
    <definedName name="Gmaster">Requests!$G$2</definedName>
    <definedName name="Just_for_Information">Requests!$M$2</definedName>
    <definedName name="Manual_Material_Creation">Requests!$H$2:$H$4</definedName>
    <definedName name="Manual_Material_Modification">Requests!$I$2:$I$7</definedName>
    <definedName name="Material_Extension">Requests!$D$2:$D$4</definedName>
    <definedName name="PiR_Adjustment_update_vendor_batch">Requests!$K$2</definedName>
    <definedName name="PiR_via_AMC">Requests!$E$2</definedName>
    <definedName name="Preferential">Requests!$F$2</definedName>
    <definedName name="Procesor">Requests!$A$15:$A$16</definedName>
    <definedName name="Request_for_Information">Requests!$L$2:$L$3</definedName>
    <definedName name="Sales_BOMs">Requests!$J$2:$J$3</definedName>
    <definedName name="Time">Requests!$D$9:$D$13</definedName>
    <definedName name="Types_of_requests">Requests!$A$2:$A$13</definedName>
    <definedName name="TypesOfError">Requests!$C$10:$C$14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1" i="1" l="1"/>
  <c r="J11" i="1" s="1"/>
  <c r="K11" i="1"/>
  <c r="T11" i="1"/>
  <c r="I10" i="1"/>
  <c r="J10" i="1" s="1"/>
  <c r="K10" i="1"/>
  <c r="T10" i="1"/>
  <c r="I9" i="1"/>
  <c r="J9" i="1" s="1"/>
  <c r="K9" i="1"/>
  <c r="T9" i="1"/>
  <c r="I8" i="1" l="1"/>
  <c r="J8" i="1" s="1"/>
  <c r="K8" i="1"/>
  <c r="T8" i="1"/>
  <c r="I7" i="1"/>
  <c r="J7" i="1" s="1"/>
  <c r="K7" i="1"/>
  <c r="T7" i="1"/>
  <c r="I6" i="1"/>
  <c r="J6" i="1" s="1"/>
  <c r="T6" i="1" s="1"/>
  <c r="K6" i="1"/>
  <c r="I5" i="1" l="1"/>
  <c r="J5" i="1" s="1"/>
  <c r="T5" i="1" s="1"/>
  <c r="K5" i="1"/>
  <c r="I4" i="1" l="1"/>
  <c r="J4" i="1" s="1"/>
  <c r="T4" i="1" s="1"/>
  <c r="K4" i="1"/>
  <c r="I3" i="1"/>
  <c r="J3" i="1" s="1"/>
  <c r="T3" i="1" s="1"/>
  <c r="K3" i="1"/>
  <c r="I2" i="1" l="1"/>
  <c r="J2" i="1" s="1"/>
  <c r="T2" i="1" s="1"/>
  <c r="D13" i="2" l="1"/>
  <c r="D12" i="2"/>
  <c r="D11" i="2"/>
  <c r="D10" i="2"/>
  <c r="D9" i="2"/>
  <c r="P1" i="2"/>
  <c r="N1" i="2"/>
  <c r="K2" i="1"/>
</calcChain>
</file>

<file path=xl/sharedStrings.xml><?xml version="1.0" encoding="utf-8"?>
<sst xmlns="http://schemas.openxmlformats.org/spreadsheetml/2006/main" count="146" uniqueCount="93">
  <si>
    <t>ID</t>
  </si>
  <si>
    <t>Processor</t>
  </si>
  <si>
    <t>LogDate</t>
  </si>
  <si>
    <t>Company</t>
  </si>
  <si>
    <t>Subject</t>
  </si>
  <si>
    <t>QTYwithErrors</t>
  </si>
  <si>
    <t>ReqType</t>
  </si>
  <si>
    <t>ReqSubType</t>
  </si>
  <si>
    <t>KPIExclusion</t>
  </si>
  <si>
    <t>Requestor</t>
  </si>
  <si>
    <t>Gmaster</t>
  </si>
  <si>
    <t>Preferential</t>
  </si>
  <si>
    <t>CompletionDate</t>
  </si>
  <si>
    <t>Other</t>
  </si>
  <si>
    <t>Missing Data</t>
  </si>
  <si>
    <t>Wrong Data</t>
  </si>
  <si>
    <t>FinishMeasure</t>
  </si>
  <si>
    <t>StarMeasure</t>
  </si>
  <si>
    <t>QTYofSKUS</t>
  </si>
  <si>
    <t>TypeOfError</t>
  </si>
  <si>
    <t>Remarks</t>
  </si>
  <si>
    <t>TimeOfMeasure</t>
  </si>
  <si>
    <t>ToDo/Done</t>
  </si>
  <si>
    <t>OnTime/Overdue</t>
  </si>
  <si>
    <t>Tension</t>
  </si>
  <si>
    <t>Types_of_requests</t>
  </si>
  <si>
    <t>Automatic_Material_Creation</t>
  </si>
  <si>
    <t>Automatic_Material_Modification</t>
  </si>
  <si>
    <t>Material_Extension</t>
  </si>
  <si>
    <t>PiR_via_AMC</t>
  </si>
  <si>
    <t>Manual_Material_Creation</t>
  </si>
  <si>
    <t>Manual_Material_Modification</t>
  </si>
  <si>
    <t>Sales_BOMs</t>
  </si>
  <si>
    <t>PiR_Adjustment_update_vendor_batch</t>
  </si>
  <si>
    <t>Request_for_Information</t>
  </si>
  <si>
    <t>-</t>
  </si>
  <si>
    <t>Time</t>
  </si>
  <si>
    <t>TypesOfError</t>
  </si>
  <si>
    <t>AMC formula</t>
  </si>
  <si>
    <t>MRP / SNP</t>
  </si>
  <si>
    <t>Procesor</t>
  </si>
  <si>
    <t>EU5454</t>
  </si>
  <si>
    <t>EU5269</t>
  </si>
  <si>
    <t>NEW BATCH</t>
  </si>
  <si>
    <t>Just_for_Information</t>
  </si>
  <si>
    <t>Deadline</t>
  </si>
  <si>
    <t>HAWA/ZPLA</t>
  </si>
  <si>
    <t>ZPLA &gt; HAWA</t>
  </si>
  <si>
    <t>DIEN</t>
  </si>
  <si>
    <t>MAKT</t>
  </si>
  <si>
    <t>Material Group 5</t>
  </si>
  <si>
    <t>MG5 and MPG</t>
  </si>
  <si>
    <t>Standard</t>
  </si>
  <si>
    <t>DTAS</t>
  </si>
  <si>
    <t>Rotex</t>
  </si>
  <si>
    <t>Local non daikin</t>
  </si>
  <si>
    <t>Derived</t>
  </si>
  <si>
    <t>Dummy</t>
  </si>
  <si>
    <t>Classification</t>
  </si>
  <si>
    <t>Product Segmentation</t>
  </si>
  <si>
    <t>W&amp;D</t>
  </si>
  <si>
    <t>BOM's component name</t>
  </si>
  <si>
    <t>Global</t>
  </si>
  <si>
    <t>Local</t>
  </si>
  <si>
    <t>Idoc</t>
  </si>
  <si>
    <t>adjust masterdata</t>
  </si>
  <si>
    <t>Material request number 8005</t>
  </si>
  <si>
    <t>Jędrzej Iksiński</t>
  </si>
  <si>
    <t>ULTRA</t>
  </si>
  <si>
    <t>No Subject Guess what is wrong xD</t>
  </si>
  <si>
    <t>Piotr Zetkowski</t>
  </si>
  <si>
    <t>Please adjust</t>
  </si>
  <si>
    <t>Anatolyi Tymoshuck</t>
  </si>
  <si>
    <t>LucoilOne</t>
  </si>
  <si>
    <t>Extension</t>
  </si>
  <si>
    <t>Ctrl + O</t>
  </si>
  <si>
    <t>Ctrl + P</t>
  </si>
  <si>
    <t>Measure</t>
  </si>
  <si>
    <t>Open Tasks</t>
  </si>
  <si>
    <t>POOLTRAS</t>
  </si>
  <si>
    <t>Alvaro Arbello</t>
  </si>
  <si>
    <t>ESP Cool</t>
  </si>
  <si>
    <t>Patrick Rensingerr</t>
  </si>
  <si>
    <t>UmaluGER</t>
  </si>
  <si>
    <t>Sergio Lorenzo Ghazni</t>
  </si>
  <si>
    <t>ARABIANCompany</t>
  </si>
  <si>
    <t>Xmaster</t>
  </si>
  <si>
    <t>DILLL</t>
  </si>
  <si>
    <t>Wrong Dimension</t>
  </si>
  <si>
    <t>[X/M] Model Registration and POS code assignment : 2018/06/07</t>
  </si>
  <si>
    <t>Material request number 7922, materials: YYYYYYY, BBBBBBBBBB, DDDDDDDDD</t>
  </si>
  <si>
    <t>Material request number 8003, materials: QQQQQQQQQ</t>
  </si>
  <si>
    <t>Material request number 8004, materials: VVVVVVVVVV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</si>
</sst>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400]h:mm:ss\ AM/PM"/>
  </numFmts>
  <fonts count="7" x14ac:knownFonts="1">
    <font>
      <sz val="11"/>
      <color theme="1"/>
      <name val="Calibri"/>
      <family val="2"/>
      <charset val="238"/>
      <scheme val="minor"/>
    </font>
    <font>
      <b/>
      <sz val="9"/>
      <color theme="0"/>
      <name val="Arial"/>
      <family val="2"/>
      <charset val="238"/>
    </font>
    <font>
      <sz val="11"/>
      <color theme="1" tint="0.14999847407452621"/>
      <name val="Calibri"/>
      <family val="2"/>
      <scheme val="minor"/>
    </font>
    <font>
      <sz val="10"/>
      <color theme="1" tint="0.14999847407452621"/>
      <name val="Arial"/>
      <family val="2"/>
      <charset val="238"/>
    </font>
    <font>
      <sz val="10"/>
      <color rgb="FF676767"/>
      <name val="Arial"/>
      <family val="2"/>
      <charset val="238"/>
    </font>
    <font>
      <sz val="9"/>
      <color theme="1"/>
      <name val="Calibri"/>
      <family val="2"/>
      <charset val="238"/>
      <scheme val="minor"/>
    </font>
    <font>
      <sz val="9"/>
      <color theme="3" tint="-0.249977111117893"/>
      <name val="Calibri"/>
      <family val="2"/>
      <charset val="238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 tint="-4.9989318521683403E-2"/>
      </left>
      <right/>
      <top style="thin">
        <color theme="0"/>
      </top>
      <bottom/>
      <diagonal/>
    </border>
    <border>
      <left style="thin">
        <color theme="0" tint="-4.9989318521683403E-2"/>
      </left>
      <right style="thin">
        <color theme="0"/>
      </right>
      <top style="thin">
        <color theme="0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2" fillId="2" borderId="0" xfId="0" applyNumberFormat="1" applyFont="1" applyFill="1" applyBorder="1"/>
    <xf numFmtId="0" fontId="3" fillId="3" borderId="0" xfId="0" applyNumberFormat="1" applyFont="1" applyFill="1" applyBorder="1" applyAlignment="1">
      <alignment vertical="center"/>
    </xf>
    <xf numFmtId="0" fontId="2" fillId="0" borderId="0" xfId="0" applyNumberFormat="1" applyFont="1" applyFill="1" applyBorder="1"/>
    <xf numFmtId="14" fontId="0" fillId="0" borderId="0" xfId="0" applyNumberFormat="1" applyFill="1" applyBorder="1"/>
    <xf numFmtId="164" fontId="0" fillId="0" borderId="0" xfId="0" applyNumberFormat="1" applyFill="1" applyBorder="1"/>
    <xf numFmtId="0" fontId="0" fillId="0" borderId="0" xfId="0" applyNumberFormat="1" applyFill="1" applyBorder="1"/>
    <xf numFmtId="0" fontId="2" fillId="4" borderId="0" xfId="0" applyNumberFormat="1" applyFont="1" applyFill="1" applyBorder="1"/>
    <xf numFmtId="0" fontId="2" fillId="5" borderId="0" xfId="0" applyNumberFormat="1" applyFont="1" applyFill="1" applyBorder="1"/>
    <xf numFmtId="0" fontId="2" fillId="6" borderId="0" xfId="0" applyNumberFormat="1" applyFont="1" applyFill="1" applyBorder="1"/>
    <xf numFmtId="0" fontId="2" fillId="7" borderId="0" xfId="0" applyNumberFormat="1" applyFont="1" applyFill="1" applyBorder="1"/>
    <xf numFmtId="0" fontId="2" fillId="8" borderId="0" xfId="0" applyNumberFormat="1" applyFont="1" applyFill="1" applyBorder="1"/>
    <xf numFmtId="0" fontId="2" fillId="9" borderId="0" xfId="0" applyNumberFormat="1" applyFont="1" applyFill="1" applyBorder="1"/>
    <xf numFmtId="0" fontId="2" fillId="10" borderId="0" xfId="0" applyNumberFormat="1" applyFont="1" applyFill="1" applyBorder="1"/>
    <xf numFmtId="0" fontId="2" fillId="11" borderId="0" xfId="0" applyNumberFormat="1" applyFont="1" applyFill="1" applyBorder="1"/>
    <xf numFmtId="0" fontId="3" fillId="0" borderId="0" xfId="0" applyNumberFormat="1" applyFont="1" applyFill="1" applyBorder="1" applyAlignment="1">
      <alignment vertical="center"/>
    </xf>
    <xf numFmtId="0" fontId="3" fillId="12" borderId="0" xfId="0" applyNumberFormat="1" applyFont="1" applyFill="1" applyBorder="1" applyAlignment="1">
      <alignment vertical="center"/>
    </xf>
    <xf numFmtId="0" fontId="4" fillId="0" borderId="0" xfId="0" applyNumberFormat="1" applyFont="1" applyFill="1" applyBorder="1" applyAlignment="1">
      <alignment vertical="center"/>
    </xf>
    <xf numFmtId="14" fontId="2" fillId="0" borderId="0" xfId="0" applyNumberFormat="1" applyFont="1" applyFill="1" applyBorder="1"/>
    <xf numFmtId="14" fontId="1" fillId="0" borderId="2" xfId="0" applyNumberFormat="1" applyFont="1" applyFill="1" applyBorder="1" applyAlignment="1">
      <alignment horizontal="center" vertical="center"/>
    </xf>
    <xf numFmtId="0" fontId="5" fillId="0" borderId="0" xfId="0" applyFont="1" applyFill="1"/>
    <xf numFmtId="0" fontId="5" fillId="0" borderId="0" xfId="0" applyFont="1" applyFill="1" applyAlignment="1">
      <alignment horizontal="center"/>
    </xf>
    <xf numFmtId="0" fontId="1" fillId="0" borderId="1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2" xfId="0" applyNumberFormat="1" applyFont="1" applyFill="1" applyBorder="1" applyAlignment="1">
      <alignment horizontal="center" vertical="center"/>
    </xf>
    <xf numFmtId="0" fontId="1" fillId="0" borderId="3" xfId="0" applyNumberFormat="1" applyFont="1" applyFill="1" applyBorder="1" applyAlignment="1">
      <alignment horizontal="center" vertical="center"/>
    </xf>
    <xf numFmtId="164" fontId="1" fillId="0" borderId="2" xfId="0" applyNumberFormat="1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14" fontId="5" fillId="0" borderId="0" xfId="0" applyNumberFormat="1" applyFont="1" applyFill="1" applyAlignment="1">
      <alignment horizontal="center" vertical="center"/>
    </xf>
    <xf numFmtId="0" fontId="6" fillId="13" borderId="5" xfId="0" applyFont="1" applyFill="1" applyBorder="1" applyAlignment="1">
      <alignment horizontal="center" vertical="center"/>
    </xf>
    <xf numFmtId="14" fontId="6" fillId="4" borderId="5" xfId="0" applyNumberFormat="1" applyFont="1" applyFill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5" fillId="0" borderId="0" xfId="0" applyNumberFormat="1" applyFont="1" applyFill="1" applyAlignment="1">
      <alignment horizontal="center" vertical="center"/>
    </xf>
    <xf numFmtId="164" fontId="5" fillId="0" borderId="0" xfId="0" applyNumberFormat="1" applyFont="1" applyFill="1" applyAlignment="1">
      <alignment horizontal="center" vertical="center"/>
    </xf>
    <xf numFmtId="0" fontId="1" fillId="0" borderId="2" xfId="0" applyFont="1" applyFill="1" applyBorder="1" applyAlignment="1">
      <alignment horizontal="left" vertical="center"/>
    </xf>
    <xf numFmtId="0" fontId="5" fillId="0" borderId="0" xfId="0" applyFont="1" applyFill="1" applyAlignment="1">
      <alignment horizontal="left" vertical="center"/>
    </xf>
  </cellXfs>
  <cellStyles count="1">
    <cellStyle name="Normal" xfId="0" builtinId="0"/>
  </cellStyles>
  <dxfs count="47">
    <dxf>
      <font>
        <strike val="0"/>
        <outline val="0"/>
        <shadow val="0"/>
        <u val="none"/>
        <vertAlign val="baseline"/>
        <sz val="9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numFmt numFmtId="164" formatCode="[$-F400]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numFmt numFmtId="164" formatCode="[$-F400]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numFmt numFmtId="164" formatCode="[$-F400]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3B3B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</dxf>
    <dxf>
      <font>
        <b/>
        <i val="0"/>
      </font>
      <fill>
        <patternFill>
          <bgColor rgb="FF92D050"/>
        </patternFill>
      </fill>
    </dxf>
    <dxf>
      <fill>
        <patternFill>
          <bgColor rgb="FFFF4747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 patternType="solid">
          <fgColor rgb="FFDCE6F1"/>
          <bgColor rgb="FFDCE6F1"/>
        </patternFill>
      </fill>
    </dxf>
    <dxf>
      <fill>
        <patternFill patternType="solid">
          <fgColor rgb="FFDCE6F1"/>
          <bgColor rgb="FFDCE6F1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4F81BD"/>
        </top>
      </border>
    </dxf>
    <dxf>
      <font>
        <b/>
        <color rgb="FFFFFFFF"/>
      </font>
      <fill>
        <patternFill patternType="solid">
          <fgColor rgb="FF4F81BD"/>
          <bgColor rgb="FF4F81BD"/>
        </patternFill>
      </fill>
    </dxf>
    <dxf>
      <font>
        <color rgb="FF000000"/>
      </font>
      <border>
        <left style="thin">
          <color rgb="FF95B3D7"/>
        </left>
        <right style="thin">
          <color rgb="FF95B3D7"/>
        </right>
        <top style="thin">
          <color rgb="FF95B3D7"/>
        </top>
        <bottom style="thin">
          <color rgb="FF95B3D7"/>
        </bottom>
        <horizontal style="thin">
          <color rgb="FF95B3D7"/>
        </horizontal>
      </border>
    </dxf>
  </dxfs>
  <tableStyles count="1" defaultTableStyle="TableStyleMedium2" defaultPivotStyle="PivotStyleLight16">
    <tableStyle name="TableStyleMedium2 2" pivot="0" count="7">
      <tableStyleElement type="wholeTable" dxfId="46"/>
      <tableStyleElement type="headerRow" dxfId="45"/>
      <tableStyleElement type="totalRow" dxfId="44"/>
      <tableStyleElement type="firstColumn" dxfId="43"/>
      <tableStyleElement type="lastColumn" dxfId="42"/>
      <tableStyleElement type="firstRowStripe" dxfId="41"/>
      <tableStyleElement type="firstColumnStripe" dxfId="4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rojec%20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gielski z Tuskiem"/>
      <sheetName val="Arkusz3"/>
      <sheetName val="Arkusz4"/>
      <sheetName val="Arkusz1"/>
    </sheetNames>
    <sheetDataSet>
      <sheetData sheetId="0"/>
      <sheetData sheetId="1"/>
      <sheetData sheetId="2"/>
      <sheetData sheetId="3"/>
    </sheetDataSet>
  </externalBook>
</externalLink>
</file>

<file path=xl/tables/table1.xml><?xml version="1.0" encoding="utf-8"?>
<table xmlns="http://schemas.openxmlformats.org/spreadsheetml/2006/main" id="1" name="Tabela1" displayName="Tabela1" ref="A1:U11" totalsRowShown="0" headerRowDxfId="22" dataDxfId="21">
  <autoFilter ref="A1:U11"/>
  <tableColumns count="21">
    <tableColumn id="1" name="ID" dataDxfId="20"/>
    <tableColumn id="2" name="LogDate" dataDxfId="19"/>
    <tableColumn id="3" name="CompletionDate" dataDxfId="18"/>
    <tableColumn id="4" name="Requestor" dataDxfId="17"/>
    <tableColumn id="5" name="Company" dataDxfId="16"/>
    <tableColumn id="6" name="Subject" dataDxfId="15"/>
    <tableColumn id="7" name="ReqType" dataDxfId="14"/>
    <tableColumn id="8" name="ReqSubType" dataDxfId="13"/>
    <tableColumn id="9" name="Tension" dataDxfId="12">
      <calculatedColumnFormula>IF(OR(AND(Tabela1[[#This Row],[ReqType]]="Automatic_Material_Creation",OR(Tabela1[[#This Row],[ReqSubType]]="HAWA/ZPLA",Tabela1[[#This Row],[ReqSubType]]="NEW BATCH",Tabela1[[#This Row],[ReqSubType]]="DIEN")),Tabela1[[#This Row],[ReqType]]="Manual_Material_Creation",Tabela1[[#This Row],[ReqType]]="Material_Extension",Tabela1[[#This Row],[ReqType]]="Preferential",Tabela1[[#This Row],[ReqType]]="Gmaster",AND(Tabela1[[#This Row],[ReqType]]="Request_for_Information",Tabela1[[#This Row],[ReqSubType]]="Idoc")),"T1",IF(OR(AND(Tabela1[[#This Row],[ReqType]]="Request_for_Information",Tabela1[[#This Row],[ReqSubType]]="Standard"),Tabela1[[#This Row],[ReqType]]="Just_for_Information",Tabela1[[#This Row],[ReqType]]="PiR_via_AMC",Tabela1[[#This Row],[ReqType]]="PiR_Adjustment_update_vendor_batch",AND(Tabela1[[#This Row],[ReqType]]="Automatic_Material_Creation",Tabela1[[#This Row],[ReqSubType]]="ZPLA &gt; HAWA")),"T2",IF(OR(Tabela1[[#This Row],[ReqType]]="Automatic_Material_Modification",Tabela1[[#This Row],[ReqType]]="Manual_Material_Modification",Tabela1[[#This Row],[ReqType]]="Sales_BOMs"),"T3"," -- ")))</calculatedColumnFormula>
    </tableColumn>
    <tableColumn id="21" name="Deadline" dataDxfId="11">
      <calculatedColumnFormula>IF(WEEKDAY(Tabela1[[#This Row],[LogDate]]+RIGHT(Tabela1[[#This Row],[Tension]],1),2)=6,Tabela1[[#This Row],[LogDate]]+RIGHT(Tabela1[[#This Row],[Tension]],1)+2,IF(WEEKDAY(Tabela1[[#This Row],[LogDate]]+RIGHT(Tabela1[[#This Row],[Tension]],1),2)=7,Tabela1[[#This Row],[LogDate]]+RIGHT(Tabela1[[#This Row],[Tension]],1)+1,Tabela1[[#This Row],[LogDate]]+RIGHT(Tabela1[[#This Row],[Tension]],1)))</calculatedColumnFormula>
    </tableColumn>
    <tableColumn id="10" name="ToDo/Done" dataDxfId="10">
      <calculatedColumnFormula>IF(ISBLANK(Tabela1[[#This Row],[CompletionDate]])=TRUE,"TO DO","DONE")</calculatedColumnFormula>
    </tableColumn>
    <tableColumn id="11" name="QTYofSKUS" dataDxfId="9"/>
    <tableColumn id="12" name="QTYwithErrors" dataDxfId="8"/>
    <tableColumn id="13" name="TypeOfError" dataDxfId="7"/>
    <tableColumn id="14" name="Remarks" dataDxfId="6"/>
    <tableColumn id="15" name="FinishMeasure" dataDxfId="5"/>
    <tableColumn id="16" name="StarMeasure" dataDxfId="4"/>
    <tableColumn id="17" name="TimeOfMeasure" dataDxfId="3"/>
    <tableColumn id="18" name="Processor" dataDxfId="2"/>
    <tableColumn id="19" name="OnTime/Overdue" dataDxfId="1">
      <calculatedColumnFormula>IF(ISBLANK(Tabela1[[#This Row],[CompletionDate]])=TRUE," - ", IF(C2&lt;=J2,"On Time","Overdue"))</calculatedColumnFormula>
    </tableColumn>
    <tableColumn id="20" name="KPIExclusion" dataDxfId="0"/>
  </tableColumns>
  <tableStyleInfo name="TableStyleMedium21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:P17"/>
  <sheetViews>
    <sheetView workbookViewId="0">
      <selection activeCell="B6" sqref="B6"/>
    </sheetView>
  </sheetViews>
  <sheetFormatPr defaultRowHeight="15" x14ac:dyDescent="0.25"/>
  <cols>
    <col min="1" max="1" width="33.140625" style="6" customWidth="1"/>
    <col min="2" max="2" width="19.5703125" style="17" customWidth="1"/>
    <col min="3" max="3" width="19.42578125" style="6" customWidth="1"/>
    <col min="4" max="4" width="13.28515625" style="6" customWidth="1"/>
    <col min="5" max="6" width="1.42578125" style="6" customWidth="1"/>
    <col min="7" max="7" width="1.5703125" style="6" customWidth="1"/>
    <col min="8" max="8" width="20.5703125" style="6" customWidth="1"/>
    <col min="9" max="9" width="25" style="6" customWidth="1"/>
    <col min="10" max="10" width="11.5703125" style="6" customWidth="1"/>
    <col min="11" max="11" width="5.5703125" style="6" customWidth="1"/>
    <col min="12" max="12" width="13" style="6" customWidth="1"/>
    <col min="13" max="13" width="9.140625" style="6"/>
    <col min="14" max="14" width="10.140625" style="6" bestFit="1" customWidth="1"/>
    <col min="15" max="16" width="15.28515625" style="6" bestFit="1" customWidth="1"/>
    <col min="17" max="16384" width="9.140625" style="6"/>
  </cols>
  <sheetData>
    <row r="1" spans="1:16" x14ac:dyDescent="0.25">
      <c r="A1" s="1" t="s">
        <v>25</v>
      </c>
      <c r="B1" s="2" t="s">
        <v>26</v>
      </c>
      <c r="C1" s="2" t="s">
        <v>27</v>
      </c>
      <c r="D1" s="2" t="s">
        <v>28</v>
      </c>
      <c r="E1" s="2" t="s">
        <v>29</v>
      </c>
      <c r="F1" s="2" t="s">
        <v>11</v>
      </c>
      <c r="G1" s="2" t="s">
        <v>10</v>
      </c>
      <c r="H1" s="2" t="s">
        <v>30</v>
      </c>
      <c r="I1" s="2" t="s">
        <v>31</v>
      </c>
      <c r="J1" s="2" t="s">
        <v>32</v>
      </c>
      <c r="K1" s="2" t="s">
        <v>33</v>
      </c>
      <c r="L1" s="2" t="s">
        <v>34</v>
      </c>
      <c r="M1" s="11" t="s">
        <v>44</v>
      </c>
      <c r="N1" s="4">
        <f ca="1">TODAY()</f>
        <v>43441</v>
      </c>
      <c r="O1" s="5"/>
      <c r="P1" s="5">
        <f ca="1">NOW()</f>
        <v>43441.774587615742</v>
      </c>
    </row>
    <row r="2" spans="1:16" x14ac:dyDescent="0.25">
      <c r="A2" s="2" t="s">
        <v>26</v>
      </c>
      <c r="B2" s="7" t="s">
        <v>46</v>
      </c>
      <c r="C2" s="8" t="s">
        <v>49</v>
      </c>
      <c r="D2" s="9" t="s">
        <v>52</v>
      </c>
      <c r="E2" s="10" t="s">
        <v>35</v>
      </c>
      <c r="F2" s="10" t="s">
        <v>35</v>
      </c>
      <c r="G2" s="10" t="s">
        <v>35</v>
      </c>
      <c r="H2" s="11" t="s">
        <v>55</v>
      </c>
      <c r="I2" s="12" t="s">
        <v>49</v>
      </c>
      <c r="J2" s="13" t="s">
        <v>62</v>
      </c>
      <c r="K2" s="10" t="s">
        <v>35</v>
      </c>
      <c r="L2" s="14" t="s">
        <v>52</v>
      </c>
      <c r="M2" s="11" t="s">
        <v>35</v>
      </c>
    </row>
    <row r="3" spans="1:16" x14ac:dyDescent="0.25">
      <c r="A3" s="2" t="s">
        <v>27</v>
      </c>
      <c r="B3" s="7" t="s">
        <v>43</v>
      </c>
      <c r="C3" s="8" t="s">
        <v>50</v>
      </c>
      <c r="D3" s="9" t="s">
        <v>53</v>
      </c>
      <c r="E3" s="3"/>
      <c r="F3" s="3"/>
      <c r="G3" s="3"/>
      <c r="H3" s="11" t="s">
        <v>56</v>
      </c>
      <c r="I3" s="12" t="s">
        <v>58</v>
      </c>
      <c r="J3" s="13" t="s">
        <v>63</v>
      </c>
      <c r="K3" s="3"/>
      <c r="L3" s="14" t="s">
        <v>64</v>
      </c>
      <c r="M3" s="3"/>
    </row>
    <row r="4" spans="1:16" x14ac:dyDescent="0.25">
      <c r="A4" s="2" t="s">
        <v>28</v>
      </c>
      <c r="B4" s="7" t="s">
        <v>47</v>
      </c>
      <c r="C4" s="8" t="s">
        <v>51</v>
      </c>
      <c r="D4" s="9" t="s">
        <v>54</v>
      </c>
      <c r="E4" s="3"/>
      <c r="F4" s="3"/>
      <c r="G4" s="3"/>
      <c r="H4" s="11" t="s">
        <v>57</v>
      </c>
      <c r="I4" s="12" t="s">
        <v>59</v>
      </c>
      <c r="J4" s="3"/>
      <c r="K4" s="3"/>
      <c r="L4" s="3"/>
      <c r="M4" s="3"/>
    </row>
    <row r="5" spans="1:16" x14ac:dyDescent="0.25">
      <c r="A5" s="2" t="s">
        <v>29</v>
      </c>
      <c r="B5" s="7" t="s">
        <v>48</v>
      </c>
      <c r="C5" s="8" t="s">
        <v>13</v>
      </c>
      <c r="D5" s="3"/>
      <c r="E5" s="3"/>
      <c r="F5" s="3"/>
      <c r="G5" s="3"/>
      <c r="H5" s="3"/>
      <c r="I5" s="12" t="s">
        <v>60</v>
      </c>
      <c r="J5" s="3"/>
      <c r="K5" s="3"/>
      <c r="L5" s="3"/>
      <c r="M5" s="3"/>
    </row>
    <row r="6" spans="1:16" x14ac:dyDescent="0.25">
      <c r="A6" s="2" t="s">
        <v>11</v>
      </c>
      <c r="B6" s="15"/>
      <c r="C6" s="3"/>
      <c r="D6" s="3"/>
      <c r="E6" s="3"/>
      <c r="F6" s="3"/>
      <c r="G6" s="3"/>
      <c r="H6" s="3"/>
      <c r="I6" s="12" t="s">
        <v>61</v>
      </c>
      <c r="J6" s="3"/>
      <c r="K6" s="3"/>
      <c r="L6" s="3"/>
      <c r="M6" s="3"/>
    </row>
    <row r="7" spans="1:16" x14ac:dyDescent="0.25">
      <c r="A7" s="2" t="s">
        <v>10</v>
      </c>
      <c r="B7" s="15"/>
      <c r="C7" s="3"/>
      <c r="D7" s="3"/>
      <c r="E7" s="3"/>
      <c r="F7" s="3"/>
      <c r="G7" s="3"/>
      <c r="H7" s="3"/>
      <c r="I7" s="12" t="s">
        <v>13</v>
      </c>
      <c r="J7" s="3"/>
      <c r="K7" s="3"/>
      <c r="L7" s="3"/>
      <c r="M7" s="3"/>
    </row>
    <row r="8" spans="1:16" x14ac:dyDescent="0.25">
      <c r="A8" s="2" t="s">
        <v>30</v>
      </c>
      <c r="B8" s="15"/>
      <c r="C8" s="3"/>
      <c r="D8" s="3" t="s">
        <v>36</v>
      </c>
      <c r="E8" s="3"/>
      <c r="F8" s="3"/>
      <c r="G8" s="3"/>
      <c r="H8" s="3"/>
      <c r="I8" s="3"/>
      <c r="J8" s="3"/>
      <c r="K8" s="3"/>
      <c r="L8" s="3"/>
      <c r="M8" s="3"/>
    </row>
    <row r="9" spans="1:16" x14ac:dyDescent="0.25">
      <c r="A9" s="2" t="s">
        <v>31</v>
      </c>
      <c r="B9" s="15"/>
      <c r="C9" s="3" t="s">
        <v>37</v>
      </c>
      <c r="D9" s="18">
        <f ca="1">NOW()-2</f>
        <v>43439.774587615742</v>
      </c>
      <c r="E9" s="3"/>
      <c r="F9" s="3"/>
      <c r="G9" s="3"/>
      <c r="H9" s="3"/>
      <c r="I9" s="3"/>
      <c r="J9" s="3"/>
      <c r="K9" s="3"/>
      <c r="L9" s="3"/>
      <c r="M9" s="3"/>
    </row>
    <row r="10" spans="1:16" x14ac:dyDescent="0.25">
      <c r="A10" s="2" t="s">
        <v>32</v>
      </c>
      <c r="B10" s="15"/>
      <c r="C10" s="3" t="s">
        <v>38</v>
      </c>
      <c r="D10" s="18">
        <f ca="1">NOW()-1</f>
        <v>43440.774587615742</v>
      </c>
      <c r="E10" s="3"/>
      <c r="F10" s="3"/>
      <c r="G10" s="3"/>
      <c r="H10" s="3"/>
      <c r="I10" s="3"/>
      <c r="J10" s="3"/>
      <c r="K10" s="3"/>
      <c r="L10" s="3"/>
      <c r="M10" s="3"/>
    </row>
    <row r="11" spans="1:16" x14ac:dyDescent="0.25">
      <c r="A11" s="2" t="s">
        <v>33</v>
      </c>
      <c r="B11" s="15"/>
      <c r="C11" s="3" t="s">
        <v>14</v>
      </c>
      <c r="D11" s="18">
        <f ca="1">NOW()</f>
        <v>43441.774587615742</v>
      </c>
      <c r="E11" s="3"/>
      <c r="F11" s="3"/>
      <c r="G11" s="3"/>
      <c r="H11" s="3"/>
      <c r="I11" s="3"/>
      <c r="J11" s="3"/>
      <c r="K11" s="3"/>
      <c r="L11" s="3"/>
      <c r="M11" s="3"/>
    </row>
    <row r="12" spans="1:16" x14ac:dyDescent="0.25">
      <c r="A12" s="2" t="s">
        <v>34</v>
      </c>
      <c r="B12" s="15"/>
      <c r="C12" s="3" t="s">
        <v>15</v>
      </c>
      <c r="D12" s="18">
        <f ca="1">NOW()+1</f>
        <v>43442.774587615742</v>
      </c>
      <c r="E12" s="3"/>
      <c r="F12" s="3"/>
      <c r="G12" s="3"/>
      <c r="H12" s="3"/>
      <c r="I12" s="3"/>
      <c r="J12" s="3"/>
      <c r="K12" s="3"/>
      <c r="L12" s="3"/>
      <c r="M12" s="3"/>
    </row>
    <row r="13" spans="1:16" x14ac:dyDescent="0.25">
      <c r="A13" s="2" t="s">
        <v>44</v>
      </c>
      <c r="B13" s="15"/>
      <c r="C13" s="3" t="s">
        <v>39</v>
      </c>
      <c r="D13" s="18">
        <f ca="1">NOW()+2</f>
        <v>43443.774587615742</v>
      </c>
      <c r="E13" s="3"/>
      <c r="F13" s="3"/>
      <c r="G13" s="3"/>
      <c r="H13" s="3"/>
      <c r="I13" s="3"/>
      <c r="J13" s="3"/>
      <c r="K13" s="3"/>
      <c r="L13" s="3"/>
      <c r="M13" s="3"/>
    </row>
    <row r="14" spans="1:16" x14ac:dyDescent="0.25">
      <c r="A14" s="16" t="s">
        <v>40</v>
      </c>
      <c r="B14" s="15"/>
      <c r="C14" s="3" t="s">
        <v>13</v>
      </c>
      <c r="D14" s="3"/>
      <c r="E14" s="3"/>
      <c r="F14" s="3"/>
      <c r="G14" s="3"/>
      <c r="H14" s="3"/>
      <c r="I14" s="3"/>
      <c r="J14" s="3"/>
      <c r="K14" s="3"/>
      <c r="L14" s="3"/>
      <c r="M14" s="3"/>
    </row>
    <row r="15" spans="1:16" x14ac:dyDescent="0.25">
      <c r="A15" s="16" t="s">
        <v>41</v>
      </c>
      <c r="B15" s="15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</row>
    <row r="16" spans="1:16" x14ac:dyDescent="0.25">
      <c r="A16" s="16" t="s">
        <v>42</v>
      </c>
      <c r="B16" s="15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</row>
    <row r="17" spans="1:13" x14ac:dyDescent="0.25">
      <c r="A17" s="3"/>
      <c r="B17" s="15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</row>
  </sheetData>
  <sheetProtection password="AC27" sheet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A1:U23"/>
  <sheetViews>
    <sheetView tabSelected="1" workbookViewId="0">
      <selection activeCell="F11" sqref="F11"/>
    </sheetView>
  </sheetViews>
  <sheetFormatPr defaultColWidth="0" defaultRowHeight="12" x14ac:dyDescent="0.2"/>
  <cols>
    <col min="1" max="1" width="4.85546875" style="31" customWidth="1"/>
    <col min="2" max="2" width="11.140625" style="31" customWidth="1"/>
    <col min="3" max="3" width="13.140625" style="28" customWidth="1"/>
    <col min="4" max="4" width="19.140625" style="31" customWidth="1"/>
    <col min="5" max="5" width="17" style="31" customWidth="1"/>
    <col min="6" max="6" width="24.85546875" style="35" customWidth="1"/>
    <col min="7" max="7" width="30.85546875" style="35" customWidth="1"/>
    <col min="8" max="8" width="12" style="31" customWidth="1"/>
    <col min="9" max="9" width="6.28515625" style="32" customWidth="1"/>
    <col min="10" max="10" width="9.28515625" style="28" customWidth="1"/>
    <col min="11" max="11" width="10.140625" style="31" customWidth="1"/>
    <col min="12" max="12" width="11" style="31" customWidth="1"/>
    <col min="13" max="13" width="13.42578125" style="31" customWidth="1"/>
    <col min="14" max="14" width="11.85546875" style="31" customWidth="1"/>
    <col min="15" max="15" width="9.42578125" style="31" customWidth="1"/>
    <col min="16" max="16" width="13.5703125" style="33" customWidth="1"/>
    <col min="17" max="17" width="12.42578125" style="33" customWidth="1"/>
    <col min="18" max="18" width="15.140625" style="33" customWidth="1"/>
    <col min="19" max="19" width="11.140625" style="31" customWidth="1"/>
    <col min="20" max="20" width="15.85546875" style="31" customWidth="1"/>
    <col min="21" max="21" width="13.7109375" style="31" customWidth="1"/>
    <col min="22" max="16384" width="9.140625" style="20" hidden="1"/>
  </cols>
  <sheetData>
    <row r="1" spans="1:21" s="21" customFormat="1" x14ac:dyDescent="0.2">
      <c r="A1" s="22" t="s">
        <v>0</v>
      </c>
      <c r="B1" s="19" t="s">
        <v>2</v>
      </c>
      <c r="C1" s="19" t="s">
        <v>12</v>
      </c>
      <c r="D1" s="23" t="s">
        <v>9</v>
      </c>
      <c r="E1" s="23" t="s">
        <v>3</v>
      </c>
      <c r="F1" s="34" t="s">
        <v>4</v>
      </c>
      <c r="G1" s="34" t="s">
        <v>6</v>
      </c>
      <c r="H1" s="23" t="s">
        <v>7</v>
      </c>
      <c r="I1" s="24" t="s">
        <v>24</v>
      </c>
      <c r="J1" s="19" t="s">
        <v>45</v>
      </c>
      <c r="K1" s="25" t="s">
        <v>22</v>
      </c>
      <c r="L1" s="23" t="s">
        <v>18</v>
      </c>
      <c r="M1" s="23" t="s">
        <v>5</v>
      </c>
      <c r="N1" s="23" t="s">
        <v>19</v>
      </c>
      <c r="O1" s="23" t="s">
        <v>20</v>
      </c>
      <c r="P1" s="26" t="s">
        <v>16</v>
      </c>
      <c r="Q1" s="26" t="s">
        <v>17</v>
      </c>
      <c r="R1" s="26" t="s">
        <v>21</v>
      </c>
      <c r="S1" s="23" t="s">
        <v>1</v>
      </c>
      <c r="T1" s="27" t="s">
        <v>23</v>
      </c>
      <c r="U1" s="23" t="s">
        <v>8</v>
      </c>
    </row>
    <row r="2" spans="1:21" x14ac:dyDescent="0.2">
      <c r="A2" s="31">
        <v>1</v>
      </c>
      <c r="B2" s="28">
        <v>43255</v>
      </c>
      <c r="C2" s="28">
        <v>43259</v>
      </c>
      <c r="D2" s="31" t="s">
        <v>80</v>
      </c>
      <c r="E2" s="31" t="s">
        <v>81</v>
      </c>
      <c r="F2" s="35" t="s">
        <v>65</v>
      </c>
      <c r="G2" s="35" t="s">
        <v>31</v>
      </c>
      <c r="H2" s="31" t="s">
        <v>58</v>
      </c>
      <c r="I2" s="32" t="str">
        <f>IF(OR(AND(Tabela1[[#This Row],[ReqType]]="Automatic_Material_Creation",OR(Tabela1[[#This Row],[ReqSubType]]="HAWA/ZPLA",Tabela1[[#This Row],[ReqSubType]]="NEW BATCH",Tabela1[[#This Row],[ReqSubType]]="DIEN")),Tabela1[[#This Row],[ReqType]]="Manual_Material_Creation",Tabela1[[#This Row],[ReqType]]="Material_Extension",Tabela1[[#This Row],[ReqType]]="Preferential",Tabela1[[#This Row],[ReqType]]="Gmaster",AND(Tabela1[[#This Row],[ReqType]]="Request_for_Information",Tabela1[[#This Row],[ReqSubType]]="Idoc")),"T1",IF(OR(AND(Tabela1[[#This Row],[ReqType]]="Request_for_Information",Tabela1[[#This Row],[ReqSubType]]="Standard"),Tabela1[[#This Row],[ReqType]]="Just_for_Information",Tabela1[[#This Row],[ReqType]]="PiR_via_AMC",Tabela1[[#This Row],[ReqType]]="PiR_Adjustment_update_vendor_batch",AND(Tabela1[[#This Row],[ReqType]]="Automatic_Material_Creation",Tabela1[[#This Row],[ReqSubType]]="ZPLA &gt; HAWA")),"T2",IF(OR(Tabela1[[#This Row],[ReqType]]="Automatic_Material_Modification",Tabela1[[#This Row],[ReqType]]="Manual_Material_Modification",Tabela1[[#This Row],[ReqType]]="Sales_BOMs"),"T3"," -- ")))</f>
        <v>T3</v>
      </c>
      <c r="J2" s="28">
        <f>IF(WEEKDAY(Tabela1[[#This Row],[LogDate]]+RIGHT(Tabela1[[#This Row],[Tension]],1),2)=6,Tabela1[[#This Row],[LogDate]]+RIGHT(Tabela1[[#This Row],[Tension]],1)+2,IF(WEEKDAY(Tabela1[[#This Row],[LogDate]]+RIGHT(Tabela1[[#This Row],[Tension]],1),2)=7,Tabela1[[#This Row],[LogDate]]+RIGHT(Tabela1[[#This Row],[Tension]],1)+1,Tabela1[[#This Row],[LogDate]]+RIGHT(Tabela1[[#This Row],[Tension]],1)))</f>
        <v>43258</v>
      </c>
      <c r="K2" s="31" t="str">
        <f>IF(ISBLANK(Tabela1[[#This Row],[CompletionDate]])=TRUE,"TO DO","DONE")</f>
        <v>DONE</v>
      </c>
      <c r="L2" s="31">
        <v>3</v>
      </c>
      <c r="P2" s="33">
        <v>43259.430474537039</v>
      </c>
      <c r="Q2" s="33">
        <v>43259.427569444444</v>
      </c>
      <c r="R2" s="33">
        <v>2.8935185185185188E-3</v>
      </c>
      <c r="S2" s="31" t="s">
        <v>41</v>
      </c>
      <c r="T2" s="31" t="str">
        <f>IF(ISBLANK(Tabela1[[#This Row],[CompletionDate]])=TRUE," - ", IF(C2&lt;=J2,"On Time","Overdue"))</f>
        <v>Overdue</v>
      </c>
    </row>
    <row r="3" spans="1:21" x14ac:dyDescent="0.2">
      <c r="A3" s="32">
        <v>2</v>
      </c>
      <c r="B3" s="28">
        <v>43256</v>
      </c>
      <c r="C3" s="28">
        <v>43259</v>
      </c>
      <c r="D3" s="31" t="s">
        <v>80</v>
      </c>
      <c r="E3" s="31" t="s">
        <v>81</v>
      </c>
      <c r="F3" s="35" t="s">
        <v>88</v>
      </c>
      <c r="G3" s="35" t="s">
        <v>31</v>
      </c>
      <c r="H3" s="31" t="s">
        <v>60</v>
      </c>
      <c r="I3" s="32" t="str">
        <f>IF(OR(AND(Tabela1[[#This Row],[ReqType]]="Automatic_Material_Creation",OR(Tabela1[[#This Row],[ReqSubType]]="HAWA/ZPLA",Tabela1[[#This Row],[ReqSubType]]="NEW BATCH",Tabela1[[#This Row],[ReqSubType]]="DIEN")),Tabela1[[#This Row],[ReqType]]="Manual_Material_Creation",Tabela1[[#This Row],[ReqType]]="Material_Extension",Tabela1[[#This Row],[ReqType]]="Preferential",Tabela1[[#This Row],[ReqType]]="Gmaster",AND(Tabela1[[#This Row],[ReqType]]="Request_for_Information",Tabela1[[#This Row],[ReqSubType]]="Idoc")),"T1",IF(OR(AND(Tabela1[[#This Row],[ReqType]]="Request_for_Information",Tabela1[[#This Row],[ReqSubType]]="Standard"),Tabela1[[#This Row],[ReqType]]="Just_for_Information",Tabela1[[#This Row],[ReqType]]="PiR_via_AMC",Tabela1[[#This Row],[ReqType]]="PiR_Adjustment_update_vendor_batch",AND(Tabela1[[#This Row],[ReqType]]="Automatic_Material_Creation",Tabela1[[#This Row],[ReqSubType]]="ZPLA &gt; HAWA")),"T2",IF(OR(Tabela1[[#This Row],[ReqType]]="Automatic_Material_Modification",Tabela1[[#This Row],[ReqType]]="Manual_Material_Modification",Tabela1[[#This Row],[ReqType]]="Sales_BOMs"),"T3"," -- ")))</f>
        <v>T3</v>
      </c>
      <c r="J3" s="28">
        <f>IF(WEEKDAY(Tabela1[[#This Row],[LogDate]]+RIGHT(Tabela1[[#This Row],[Tension]],1),2)=6,Tabela1[[#This Row],[LogDate]]+RIGHT(Tabela1[[#This Row],[Tension]],1)+2,IF(WEEKDAY(Tabela1[[#This Row],[LogDate]]+RIGHT(Tabela1[[#This Row],[Tension]],1),2)=7,Tabela1[[#This Row],[LogDate]]+RIGHT(Tabela1[[#This Row],[Tension]],1)+1,Tabela1[[#This Row],[LogDate]]+RIGHT(Tabela1[[#This Row],[Tension]],1)))</f>
        <v>43259</v>
      </c>
      <c r="K3" s="32" t="str">
        <f>IF(ISBLANK(Tabela1[[#This Row],[CompletionDate]])=TRUE,"TO DO","DONE")</f>
        <v>DONE</v>
      </c>
      <c r="L3" s="31">
        <v>5</v>
      </c>
      <c r="P3" s="33">
        <v>43259.455324074072</v>
      </c>
      <c r="Q3" s="33">
        <v>43259.460590277777</v>
      </c>
      <c r="R3" s="33">
        <v>5.2662037037037035E-3</v>
      </c>
      <c r="S3" s="31" t="s">
        <v>41</v>
      </c>
      <c r="T3" s="32" t="str">
        <f>IF(ISBLANK(Tabela1[[#This Row],[CompletionDate]])=TRUE," - ", IF(C3&lt;=J3,"On Time","Overdue"))</f>
        <v>On Time</v>
      </c>
    </row>
    <row r="4" spans="1:21" x14ac:dyDescent="0.2">
      <c r="A4" s="32">
        <v>3</v>
      </c>
      <c r="B4" s="28">
        <v>43258</v>
      </c>
      <c r="C4" s="28">
        <v>43259</v>
      </c>
      <c r="D4" s="31" t="s">
        <v>86</v>
      </c>
      <c r="E4" s="31" t="s">
        <v>87</v>
      </c>
      <c r="F4" s="35" t="s">
        <v>89</v>
      </c>
      <c r="G4" s="35" t="s">
        <v>10</v>
      </c>
      <c r="H4" s="31" t="s">
        <v>35</v>
      </c>
      <c r="I4" s="32" t="str">
        <f>IF(OR(AND(Tabela1[[#This Row],[ReqType]]="Automatic_Material_Creation",OR(Tabela1[[#This Row],[ReqSubType]]="HAWA/ZPLA",Tabela1[[#This Row],[ReqSubType]]="NEW BATCH",Tabela1[[#This Row],[ReqSubType]]="DIEN")),Tabela1[[#This Row],[ReqType]]="Manual_Material_Creation",Tabela1[[#This Row],[ReqType]]="Material_Extension",Tabela1[[#This Row],[ReqType]]="Preferential",Tabela1[[#This Row],[ReqType]]="Gmaster",AND(Tabela1[[#This Row],[ReqType]]="Request_for_Information",Tabela1[[#This Row],[ReqSubType]]="Idoc")),"T1",IF(OR(AND(Tabela1[[#This Row],[ReqType]]="Request_for_Information",Tabela1[[#This Row],[ReqSubType]]="Standard"),Tabela1[[#This Row],[ReqType]]="Just_for_Information",Tabela1[[#This Row],[ReqType]]="PiR_via_AMC",Tabela1[[#This Row],[ReqType]]="PiR_Adjustment_update_vendor_batch",AND(Tabela1[[#This Row],[ReqType]]="Automatic_Material_Creation",Tabela1[[#This Row],[ReqSubType]]="ZPLA &gt; HAWA")),"T2",IF(OR(Tabela1[[#This Row],[ReqType]]="Automatic_Material_Modification",Tabela1[[#This Row],[ReqType]]="Manual_Material_Modification",Tabela1[[#This Row],[ReqType]]="Sales_BOMs"),"T3"," -- ")))</f>
        <v>T1</v>
      </c>
      <c r="J4" s="28">
        <f>IF(WEEKDAY(Tabela1[[#This Row],[LogDate]]+RIGHT(Tabela1[[#This Row],[Tension]],1),2)=6,Tabela1[[#This Row],[LogDate]]+RIGHT(Tabela1[[#This Row],[Tension]],1)+2,IF(WEEKDAY(Tabela1[[#This Row],[LogDate]]+RIGHT(Tabela1[[#This Row],[Tension]],1),2)=7,Tabela1[[#This Row],[LogDate]]+RIGHT(Tabela1[[#This Row],[Tension]],1)+1,Tabela1[[#This Row],[LogDate]]+RIGHT(Tabela1[[#This Row],[Tension]],1)))</f>
        <v>43259</v>
      </c>
      <c r="K4" s="32" t="str">
        <f>IF(ISBLANK(Tabela1[[#This Row],[CompletionDate]])=TRUE,"TO DO","DONE")</f>
        <v>DONE</v>
      </c>
      <c r="L4" s="31">
        <v>10</v>
      </c>
      <c r="P4" s="33">
        <v>43259.462476851855</v>
      </c>
      <c r="Q4" s="33">
        <v>43259.457939814813</v>
      </c>
      <c r="R4" s="33">
        <v>4.5370370370370365E-3</v>
      </c>
      <c r="S4" s="31" t="s">
        <v>41</v>
      </c>
      <c r="T4" s="32" t="str">
        <f>IF(ISBLANK(Tabela1[[#This Row],[CompletionDate]])=TRUE," - ", IF(C4&lt;=J4,"On Time","Overdue"))</f>
        <v>On Time</v>
      </c>
    </row>
    <row r="5" spans="1:21" x14ac:dyDescent="0.2">
      <c r="A5" s="32">
        <v>4</v>
      </c>
      <c r="B5" s="28">
        <v>43263</v>
      </c>
      <c r="C5" s="28">
        <v>43266</v>
      </c>
      <c r="D5" s="31" t="s">
        <v>84</v>
      </c>
      <c r="E5" s="31" t="s">
        <v>85</v>
      </c>
      <c r="F5" s="35" t="s">
        <v>90</v>
      </c>
      <c r="G5" s="35" t="s">
        <v>27</v>
      </c>
      <c r="H5" s="31" t="s">
        <v>13</v>
      </c>
      <c r="I5" s="32" t="str">
        <f>IF(OR(AND(Tabela1[[#This Row],[ReqType]]="Automatic_Material_Creation",OR(Tabela1[[#This Row],[ReqSubType]]="HAWA/ZPLA",Tabela1[[#This Row],[ReqSubType]]="NEW BATCH",Tabela1[[#This Row],[ReqSubType]]="DIEN")),Tabela1[[#This Row],[ReqType]]="Manual_Material_Creation",Tabela1[[#This Row],[ReqType]]="Material_Extension",Tabela1[[#This Row],[ReqType]]="Preferential",Tabela1[[#This Row],[ReqType]]="Gmaster",AND(Tabela1[[#This Row],[ReqType]]="Request_for_Information",Tabela1[[#This Row],[ReqSubType]]="Idoc")),"T1",IF(OR(AND(Tabela1[[#This Row],[ReqType]]="Request_for_Information",Tabela1[[#This Row],[ReqSubType]]="Standard"),Tabela1[[#This Row],[ReqType]]="Just_for_Information",Tabela1[[#This Row],[ReqType]]="PiR_via_AMC",Tabela1[[#This Row],[ReqType]]="PiR_Adjustment_update_vendor_batch",AND(Tabela1[[#This Row],[ReqType]]="Automatic_Material_Creation",Tabela1[[#This Row],[ReqSubType]]="ZPLA &gt; HAWA")),"T2",IF(OR(Tabela1[[#This Row],[ReqType]]="Automatic_Material_Modification",Tabela1[[#This Row],[ReqType]]="Manual_Material_Modification",Tabela1[[#This Row],[ReqType]]="Sales_BOMs"),"T3"," -- ")))</f>
        <v>T3</v>
      </c>
      <c r="J5" s="28">
        <f>IF(WEEKDAY(Tabela1[[#This Row],[LogDate]]+RIGHT(Tabela1[[#This Row],[Tension]],1),2)=6,Tabela1[[#This Row],[LogDate]]+RIGHT(Tabela1[[#This Row],[Tension]],1)+2,IF(WEEKDAY(Tabela1[[#This Row],[LogDate]]+RIGHT(Tabela1[[#This Row],[Tension]],1),2)=7,Tabela1[[#This Row],[LogDate]]+RIGHT(Tabela1[[#This Row],[Tension]],1)+1,Tabela1[[#This Row],[LogDate]]+RIGHT(Tabela1[[#This Row],[Tension]],1)))</f>
        <v>43266</v>
      </c>
      <c r="K5" s="32" t="str">
        <f>IF(ISBLANK(Tabela1[[#This Row],[CompletionDate]])=TRUE,"TO DO","DONE")</f>
        <v>DONE</v>
      </c>
      <c r="L5" s="31">
        <v>3</v>
      </c>
      <c r="P5" s="33">
        <v>43266.472500000003</v>
      </c>
      <c r="Q5" s="33">
        <v>43266.467407407406</v>
      </c>
      <c r="R5" s="33">
        <v>5.0925925925925921E-3</v>
      </c>
      <c r="S5" s="31" t="s">
        <v>41</v>
      </c>
      <c r="T5" s="32" t="str">
        <f>IF(ISBLANK(Tabela1[[#This Row],[CompletionDate]])=TRUE," - ", IF(C5&lt;=J5,"On Time","Overdue"))</f>
        <v>On Time</v>
      </c>
    </row>
    <row r="6" spans="1:21" x14ac:dyDescent="0.2">
      <c r="A6" s="32">
        <v>5</v>
      </c>
      <c r="B6" s="28">
        <v>43264</v>
      </c>
      <c r="C6" s="28">
        <v>43276</v>
      </c>
      <c r="D6" s="31" t="s">
        <v>82</v>
      </c>
      <c r="E6" s="31" t="s">
        <v>83</v>
      </c>
      <c r="F6" s="35" t="s">
        <v>91</v>
      </c>
      <c r="G6" s="35" t="s">
        <v>26</v>
      </c>
      <c r="H6" s="31" t="s">
        <v>46</v>
      </c>
      <c r="I6" s="32" t="str">
        <f>IF(OR(AND(Tabela1[[#This Row],[ReqType]]="Automatic_Material_Creation",OR(Tabela1[[#This Row],[ReqSubType]]="HAWA/ZPLA",Tabela1[[#This Row],[ReqSubType]]="NEW BATCH",Tabela1[[#This Row],[ReqSubType]]="DIEN")),Tabela1[[#This Row],[ReqType]]="Manual_Material_Creation",Tabela1[[#This Row],[ReqType]]="Material_Extension",Tabela1[[#This Row],[ReqType]]="Preferential",Tabela1[[#This Row],[ReqType]]="Gmaster",AND(Tabela1[[#This Row],[ReqType]]="Request_for_Information",Tabela1[[#This Row],[ReqSubType]]="Idoc")),"T1",IF(OR(AND(Tabela1[[#This Row],[ReqType]]="Request_for_Information",Tabela1[[#This Row],[ReqSubType]]="Standard"),Tabela1[[#This Row],[ReqType]]="Just_for_Information",Tabela1[[#This Row],[ReqType]]="PiR_via_AMC",Tabela1[[#This Row],[ReqType]]="PiR_Adjustment_update_vendor_batch",AND(Tabela1[[#This Row],[ReqType]]="Automatic_Material_Creation",Tabela1[[#This Row],[ReqSubType]]="ZPLA &gt; HAWA")),"T2",IF(OR(Tabela1[[#This Row],[ReqType]]="Automatic_Material_Modification",Tabela1[[#This Row],[ReqType]]="Manual_Material_Modification",Tabela1[[#This Row],[ReqType]]="Sales_BOMs"),"T3"," -- ")))</f>
        <v>T1</v>
      </c>
      <c r="J6" s="28">
        <f>IF(WEEKDAY(Tabela1[[#This Row],[LogDate]]+RIGHT(Tabela1[[#This Row],[Tension]],1),2)=6,Tabela1[[#This Row],[LogDate]]+RIGHT(Tabela1[[#This Row],[Tension]],1)+2,IF(WEEKDAY(Tabela1[[#This Row],[LogDate]]+RIGHT(Tabela1[[#This Row],[Tension]],1),2)=7,Tabela1[[#This Row],[LogDate]]+RIGHT(Tabela1[[#This Row],[Tension]],1)+1,Tabela1[[#This Row],[LogDate]]+RIGHT(Tabela1[[#This Row],[Tension]],1)))</f>
        <v>43265</v>
      </c>
      <c r="K6" s="32" t="str">
        <f>IF(ISBLANK(Tabela1[[#This Row],[CompletionDate]])=TRUE,"TO DO","DONE")</f>
        <v>DONE</v>
      </c>
      <c r="L6" s="31">
        <v>1</v>
      </c>
      <c r="P6" s="33">
        <v>43276.567303240743</v>
      </c>
      <c r="Q6" s="33">
        <v>43276.550219907411</v>
      </c>
      <c r="R6" s="33">
        <v>1.7071759259259259E-2</v>
      </c>
      <c r="S6" s="31" t="s">
        <v>41</v>
      </c>
      <c r="T6" s="32" t="str">
        <f>IF(ISBLANK(Tabela1[[#This Row],[CompletionDate]])=TRUE," - ", IF(C6&lt;=J6,"On Time","Overdue"))</f>
        <v>Overdue</v>
      </c>
    </row>
    <row r="7" spans="1:21" x14ac:dyDescent="0.2">
      <c r="A7" s="32">
        <v>6</v>
      </c>
      <c r="B7" s="28">
        <v>43265</v>
      </c>
      <c r="D7" s="31" t="s">
        <v>82</v>
      </c>
      <c r="E7" s="31" t="s">
        <v>83</v>
      </c>
      <c r="F7" s="35" t="s">
        <v>92</v>
      </c>
      <c r="G7" s="35" t="s">
        <v>26</v>
      </c>
      <c r="H7" s="31" t="s">
        <v>46</v>
      </c>
      <c r="I7" s="32" t="str">
        <f>IF(OR(AND(Tabela1[[#This Row],[ReqType]]="Automatic_Material_Creation",OR(Tabela1[[#This Row],[ReqSubType]]="HAWA/ZPLA",Tabela1[[#This Row],[ReqSubType]]="NEW BATCH",Tabela1[[#This Row],[ReqSubType]]="DIEN")),Tabela1[[#This Row],[ReqType]]="Manual_Material_Creation",Tabela1[[#This Row],[ReqType]]="Material_Extension",Tabela1[[#This Row],[ReqType]]="Preferential",Tabela1[[#This Row],[ReqType]]="Gmaster",AND(Tabela1[[#This Row],[ReqType]]="Request_for_Information",Tabela1[[#This Row],[ReqSubType]]="Idoc")),"T1",IF(OR(AND(Tabela1[[#This Row],[ReqType]]="Request_for_Information",Tabela1[[#This Row],[ReqSubType]]="Standard"),Tabela1[[#This Row],[ReqType]]="Just_for_Information",Tabela1[[#This Row],[ReqType]]="PiR_via_AMC",Tabela1[[#This Row],[ReqType]]="PiR_Adjustment_update_vendor_batch",AND(Tabela1[[#This Row],[ReqType]]="Automatic_Material_Creation",Tabela1[[#This Row],[ReqSubType]]="ZPLA &gt; HAWA")),"T2",IF(OR(Tabela1[[#This Row],[ReqType]]="Automatic_Material_Modification",Tabela1[[#This Row],[ReqType]]="Manual_Material_Modification",Tabela1[[#This Row],[ReqType]]="Sales_BOMs"),"T3"," -- ")))</f>
        <v>T1</v>
      </c>
      <c r="J7" s="28">
        <f>IF(WEEKDAY(Tabela1[[#This Row],[LogDate]]+RIGHT(Tabela1[[#This Row],[Tension]],1),2)=6,Tabela1[[#This Row],[LogDate]]+RIGHT(Tabela1[[#This Row],[Tension]],1)+2,IF(WEEKDAY(Tabela1[[#This Row],[LogDate]]+RIGHT(Tabela1[[#This Row],[Tension]],1),2)=7,Tabela1[[#This Row],[LogDate]]+RIGHT(Tabela1[[#This Row],[Tension]],1)+1,Tabela1[[#This Row],[LogDate]]+RIGHT(Tabela1[[#This Row],[Tension]],1)))</f>
        <v>43266</v>
      </c>
      <c r="K7" s="32" t="str">
        <f>IF(ISBLANK(Tabela1[[#This Row],[CompletionDate]])=TRUE,"TO DO","DONE")</f>
        <v>TO DO</v>
      </c>
      <c r="L7" s="31">
        <v>1</v>
      </c>
      <c r="T7" s="32" t="str">
        <f>IF(ISBLANK(Tabela1[[#This Row],[CompletionDate]])=TRUE," - ", IF(C7&lt;=J7,"On Time","Overdue"))</f>
        <v xml:space="preserve"> - </v>
      </c>
    </row>
    <row r="8" spans="1:21" x14ac:dyDescent="0.2">
      <c r="A8" s="32">
        <v>7</v>
      </c>
      <c r="B8" s="28">
        <v>43266</v>
      </c>
      <c r="D8" s="31" t="s">
        <v>82</v>
      </c>
      <c r="E8" s="31" t="s">
        <v>83</v>
      </c>
      <c r="F8" s="35" t="s">
        <v>66</v>
      </c>
      <c r="G8" s="35" t="s">
        <v>26</v>
      </c>
      <c r="H8" s="31" t="s">
        <v>46</v>
      </c>
      <c r="I8" s="32" t="str">
        <f>IF(OR(AND(Tabela1[[#This Row],[ReqType]]="Automatic_Material_Creation",OR(Tabela1[[#This Row],[ReqSubType]]="HAWA/ZPLA",Tabela1[[#This Row],[ReqSubType]]="NEW BATCH",Tabela1[[#This Row],[ReqSubType]]="DIEN")),Tabela1[[#This Row],[ReqType]]="Manual_Material_Creation",Tabela1[[#This Row],[ReqType]]="Material_Extension",Tabela1[[#This Row],[ReqType]]="Preferential",Tabela1[[#This Row],[ReqType]]="Gmaster",AND(Tabela1[[#This Row],[ReqType]]="Request_for_Information",Tabela1[[#This Row],[ReqSubType]]="Idoc")),"T1",IF(OR(AND(Tabela1[[#This Row],[ReqType]]="Request_for_Information",Tabela1[[#This Row],[ReqSubType]]="Standard"),Tabela1[[#This Row],[ReqType]]="Just_for_Information",Tabela1[[#This Row],[ReqType]]="PiR_via_AMC",Tabela1[[#This Row],[ReqType]]="PiR_Adjustment_update_vendor_batch",AND(Tabela1[[#This Row],[ReqType]]="Automatic_Material_Creation",Tabela1[[#This Row],[ReqSubType]]="ZPLA &gt; HAWA")),"T2",IF(OR(Tabela1[[#This Row],[ReqType]]="Automatic_Material_Modification",Tabela1[[#This Row],[ReqType]]="Manual_Material_Modification",Tabela1[[#This Row],[ReqType]]="Sales_BOMs"),"T3"," -- ")))</f>
        <v>T1</v>
      </c>
      <c r="J8" s="28">
        <f>IF(WEEKDAY(Tabela1[[#This Row],[LogDate]]+RIGHT(Tabela1[[#This Row],[Tension]],1),2)=6,Tabela1[[#This Row],[LogDate]]+RIGHT(Tabela1[[#This Row],[Tension]],1)+2,IF(WEEKDAY(Tabela1[[#This Row],[LogDate]]+RIGHT(Tabela1[[#This Row],[Tension]],1),2)=7,Tabela1[[#This Row],[LogDate]]+RIGHT(Tabela1[[#This Row],[Tension]],1)+1,Tabela1[[#This Row],[LogDate]]+RIGHT(Tabela1[[#This Row],[Tension]],1)))</f>
        <v>43269</v>
      </c>
      <c r="K8" s="32" t="str">
        <f>IF(ISBLANK(Tabela1[[#This Row],[CompletionDate]])=TRUE,"TO DO","DONE")</f>
        <v>TO DO</v>
      </c>
      <c r="L8" s="31">
        <v>1</v>
      </c>
      <c r="T8" s="32" t="str">
        <f>IF(ISBLANK(Tabela1[[#This Row],[CompletionDate]])=TRUE," - ", IF(C8&lt;=J8,"On Time","Overdue"))</f>
        <v xml:space="preserve"> - </v>
      </c>
    </row>
    <row r="9" spans="1:21" x14ac:dyDescent="0.2">
      <c r="A9" s="32">
        <v>8</v>
      </c>
      <c r="B9" s="28">
        <v>43441.718533333304</v>
      </c>
      <c r="C9" s="28">
        <v>43441</v>
      </c>
      <c r="D9" s="31" t="s">
        <v>67</v>
      </c>
      <c r="E9" s="31" t="s">
        <v>68</v>
      </c>
      <c r="F9" s="35" t="s">
        <v>69</v>
      </c>
      <c r="G9" s="35" t="s">
        <v>33</v>
      </c>
      <c r="H9" s="31" t="s">
        <v>35</v>
      </c>
      <c r="I9" s="32" t="str">
        <f>IF(OR(AND(Tabela1[[#This Row],[ReqType]]="Automatic_Material_Creation",OR(Tabela1[[#This Row],[ReqSubType]]="HAWA/ZPLA",Tabela1[[#This Row],[ReqSubType]]="NEW BATCH",Tabela1[[#This Row],[ReqSubType]]="DIEN")),Tabela1[[#This Row],[ReqType]]="Manual_Material_Creation",Tabela1[[#This Row],[ReqType]]="Material_Extension",Tabela1[[#This Row],[ReqType]]="Preferential",Tabela1[[#This Row],[ReqType]]="Gmaster",AND(Tabela1[[#This Row],[ReqType]]="Request_for_Information",Tabela1[[#This Row],[ReqSubType]]="Idoc")),"T1",IF(OR(AND(Tabela1[[#This Row],[ReqType]]="Request_for_Information",Tabela1[[#This Row],[ReqSubType]]="Standard"),Tabela1[[#This Row],[ReqType]]="Just_for_Information",Tabela1[[#This Row],[ReqType]]="PiR_via_AMC",Tabela1[[#This Row],[ReqType]]="PiR_Adjustment_update_vendor_batch",AND(Tabela1[[#This Row],[ReqType]]="Automatic_Material_Creation",Tabela1[[#This Row],[ReqSubType]]="ZPLA &gt; HAWA")),"T2",IF(OR(Tabela1[[#This Row],[ReqType]]="Automatic_Material_Modification",Tabela1[[#This Row],[ReqType]]="Manual_Material_Modification",Tabela1[[#This Row],[ReqType]]="Sales_BOMs"),"T3"," -- ")))</f>
        <v>T2</v>
      </c>
      <c r="J9" s="28">
        <f>IF(WEEKDAY(Tabela1[[#This Row],[LogDate]]+RIGHT(Tabela1[[#This Row],[Tension]],1),2)=6,Tabela1[[#This Row],[LogDate]]+RIGHT(Tabela1[[#This Row],[Tension]],1)+2,IF(WEEKDAY(Tabela1[[#This Row],[LogDate]]+RIGHT(Tabela1[[#This Row],[Tension]],1),2)=7,Tabela1[[#This Row],[LogDate]]+RIGHT(Tabela1[[#This Row],[Tension]],1)+1,Tabela1[[#This Row],[LogDate]]+RIGHT(Tabela1[[#This Row],[Tension]],1)))</f>
        <v>43444.718533333304</v>
      </c>
      <c r="K9" s="32" t="str">
        <f>IF(ISBLANK(Tabela1[[#This Row],[CompletionDate]])=TRUE,"TO DO","DONE")</f>
        <v>DONE</v>
      </c>
      <c r="L9" s="31">
        <v>8</v>
      </c>
      <c r="M9" s="31">
        <v>8</v>
      </c>
      <c r="P9" s="33">
        <v>43441.738356481481</v>
      </c>
      <c r="Q9" s="33">
        <v>43441.726307870369</v>
      </c>
      <c r="R9" s="33">
        <v>1.2048611111111112E-2</v>
      </c>
      <c r="S9" s="31" t="s">
        <v>42</v>
      </c>
      <c r="T9" s="32" t="str">
        <f>IF(ISBLANK(Tabela1[[#This Row],[CompletionDate]])=TRUE," - ", IF(C9&lt;=J9,"On Time","Overdue"))</f>
        <v>On Time</v>
      </c>
    </row>
    <row r="10" spans="1:21" x14ac:dyDescent="0.2">
      <c r="A10" s="32">
        <v>9</v>
      </c>
      <c r="B10" s="28">
        <v>43440.7243354167</v>
      </c>
      <c r="C10" s="28">
        <v>43441</v>
      </c>
      <c r="D10" s="31" t="s">
        <v>70</v>
      </c>
      <c r="E10" s="31" t="s">
        <v>79</v>
      </c>
      <c r="F10" s="35" t="s">
        <v>71</v>
      </c>
      <c r="G10" s="35" t="s">
        <v>33</v>
      </c>
      <c r="H10" s="31" t="s">
        <v>35</v>
      </c>
      <c r="I10" s="32" t="str">
        <f>IF(OR(AND(Tabela1[[#This Row],[ReqType]]="Automatic_Material_Creation",OR(Tabela1[[#This Row],[ReqSubType]]="HAWA/ZPLA",Tabela1[[#This Row],[ReqSubType]]="NEW BATCH",Tabela1[[#This Row],[ReqSubType]]="DIEN")),Tabela1[[#This Row],[ReqType]]="Manual_Material_Creation",Tabela1[[#This Row],[ReqType]]="Material_Extension",Tabela1[[#This Row],[ReqType]]="Preferential",Tabela1[[#This Row],[ReqType]]="Gmaster",AND(Tabela1[[#This Row],[ReqType]]="Request_for_Information",Tabela1[[#This Row],[ReqSubType]]="Idoc")),"T1",IF(OR(AND(Tabela1[[#This Row],[ReqType]]="Request_for_Information",Tabela1[[#This Row],[ReqSubType]]="Standard"),Tabela1[[#This Row],[ReqType]]="Just_for_Information",Tabela1[[#This Row],[ReqType]]="PiR_via_AMC",Tabela1[[#This Row],[ReqType]]="PiR_Adjustment_update_vendor_batch",AND(Tabela1[[#This Row],[ReqType]]="Automatic_Material_Creation",Tabela1[[#This Row],[ReqSubType]]="ZPLA &gt; HAWA")),"T2",IF(OR(Tabela1[[#This Row],[ReqType]]="Automatic_Material_Modification",Tabela1[[#This Row],[ReqType]]="Manual_Material_Modification",Tabela1[[#This Row],[ReqType]]="Sales_BOMs"),"T3"," -- ")))</f>
        <v>T2</v>
      </c>
      <c r="J10" s="28">
        <f>IF(WEEKDAY(Tabela1[[#This Row],[LogDate]]+RIGHT(Tabela1[[#This Row],[Tension]],1),2)=6,Tabela1[[#This Row],[LogDate]]+RIGHT(Tabela1[[#This Row],[Tension]],1)+2,IF(WEEKDAY(Tabela1[[#This Row],[LogDate]]+RIGHT(Tabela1[[#This Row],[Tension]],1),2)=7,Tabela1[[#This Row],[LogDate]]+RIGHT(Tabela1[[#This Row],[Tension]],1)+1,Tabela1[[#This Row],[LogDate]]+RIGHT(Tabela1[[#This Row],[Tension]],1)))</f>
        <v>43444.7243354167</v>
      </c>
      <c r="K10" s="32" t="str">
        <f>IF(ISBLANK(Tabela1[[#This Row],[CompletionDate]])=TRUE,"TO DO","DONE")</f>
        <v>DONE</v>
      </c>
      <c r="L10" s="31">
        <v>35</v>
      </c>
      <c r="M10" s="31">
        <v>35</v>
      </c>
      <c r="P10" s="33">
        <v>43441.738356481481</v>
      </c>
      <c r="Q10" s="33">
        <v>43441.726307870369</v>
      </c>
      <c r="R10" s="33">
        <v>1.2048611111111112E-2</v>
      </c>
      <c r="S10" s="31" t="s">
        <v>42</v>
      </c>
      <c r="T10" s="32" t="str">
        <f>IF(ISBLANK(Tabela1[[#This Row],[CompletionDate]])=TRUE," - ", IF(C10&lt;=J10,"On Time","Overdue"))</f>
        <v>On Time</v>
      </c>
    </row>
    <row r="11" spans="1:21" x14ac:dyDescent="0.2">
      <c r="A11" s="32">
        <v>10</v>
      </c>
      <c r="B11" s="28">
        <v>43441.724931365701</v>
      </c>
      <c r="D11" s="31" t="s">
        <v>72</v>
      </c>
      <c r="E11" s="31" t="s">
        <v>73</v>
      </c>
      <c r="F11" s="35" t="s">
        <v>74</v>
      </c>
      <c r="G11" s="35" t="s">
        <v>28</v>
      </c>
      <c r="H11" s="31" t="s">
        <v>52</v>
      </c>
      <c r="I11" s="32" t="str">
        <f>IF(OR(AND(Tabela1[[#This Row],[ReqType]]="Automatic_Material_Creation",OR(Tabela1[[#This Row],[ReqSubType]]="HAWA/ZPLA",Tabela1[[#This Row],[ReqSubType]]="NEW BATCH",Tabela1[[#This Row],[ReqSubType]]="DIEN")),Tabela1[[#This Row],[ReqType]]="Manual_Material_Creation",Tabela1[[#This Row],[ReqType]]="Material_Extension",Tabela1[[#This Row],[ReqType]]="Preferential",Tabela1[[#This Row],[ReqType]]="Gmaster",AND(Tabela1[[#This Row],[ReqType]]="Request_for_Information",Tabela1[[#This Row],[ReqSubType]]="Idoc")),"T1",IF(OR(AND(Tabela1[[#This Row],[ReqType]]="Request_for_Information",Tabela1[[#This Row],[ReqSubType]]="Standard"),Tabela1[[#This Row],[ReqType]]="Just_for_Information",Tabela1[[#This Row],[ReqType]]="PiR_via_AMC",Tabela1[[#This Row],[ReqType]]="PiR_Adjustment_update_vendor_batch",AND(Tabela1[[#This Row],[ReqType]]="Automatic_Material_Creation",Tabela1[[#This Row],[ReqSubType]]="ZPLA &gt; HAWA")),"T2",IF(OR(Tabela1[[#This Row],[ReqType]]="Automatic_Material_Modification",Tabela1[[#This Row],[ReqType]]="Manual_Material_Modification",Tabela1[[#This Row],[ReqType]]="Sales_BOMs"),"T3"," -- ")))</f>
        <v>T1</v>
      </c>
      <c r="J11" s="28">
        <f>IF(WEEKDAY(Tabela1[[#This Row],[LogDate]]+RIGHT(Tabela1[[#This Row],[Tension]],1),2)=6,Tabela1[[#This Row],[LogDate]]+RIGHT(Tabela1[[#This Row],[Tension]],1)+2,IF(WEEKDAY(Tabela1[[#This Row],[LogDate]]+RIGHT(Tabela1[[#This Row],[Tension]],1),2)=7,Tabela1[[#This Row],[LogDate]]+RIGHT(Tabela1[[#This Row],[Tension]],1)+1,Tabela1[[#This Row],[LogDate]]+RIGHT(Tabela1[[#This Row],[Tension]],1)))</f>
        <v>43444.724931365701</v>
      </c>
      <c r="K11" s="32" t="str">
        <f>IF(ISBLANK(Tabela1[[#This Row],[CompletionDate]])=TRUE,"TO DO","DONE")</f>
        <v>TO DO</v>
      </c>
      <c r="L11" s="31">
        <v>13</v>
      </c>
      <c r="T11" s="32" t="str">
        <f>IF(ISBLANK(Tabela1[[#This Row],[CompletionDate]])=TRUE," - ", IF(C11&lt;=J11,"On Time","Overdue"))</f>
        <v xml:space="preserve"> - </v>
      </c>
    </row>
    <row r="22" spans="2:3" x14ac:dyDescent="0.2">
      <c r="B22" s="29" t="s">
        <v>75</v>
      </c>
      <c r="C22" s="30" t="s">
        <v>78</v>
      </c>
    </row>
    <row r="23" spans="2:3" x14ac:dyDescent="0.2">
      <c r="B23" s="29" t="s">
        <v>76</v>
      </c>
      <c r="C23" s="30" t="s">
        <v>77</v>
      </c>
    </row>
  </sheetData>
  <conditionalFormatting sqref="C1">
    <cfRule type="cellIs" dxfId="39" priority="18" operator="equal">
      <formula>43154</formula>
    </cfRule>
  </conditionalFormatting>
  <conditionalFormatting sqref="K1">
    <cfRule type="cellIs" dxfId="38" priority="10" operator="equal">
      <formula>"To Do"</formula>
    </cfRule>
    <cfRule type="cellIs" dxfId="37" priority="11" operator="equal">
      <formula>"Done"</formula>
    </cfRule>
    <cfRule type="cellIs" dxfId="36" priority="12" operator="equal">
      <formula>"Done"</formula>
    </cfRule>
    <cfRule type="cellIs" dxfId="35" priority="13" operator="equal">
      <formula>"To Do"</formula>
    </cfRule>
  </conditionalFormatting>
  <conditionalFormatting sqref="K1">
    <cfRule type="cellIs" dxfId="34" priority="8" operator="equal">
      <formula>"To Do"</formula>
    </cfRule>
    <cfRule type="cellIs" dxfId="33" priority="9" operator="equal">
      <formula>"Done"</formula>
    </cfRule>
  </conditionalFormatting>
  <conditionalFormatting sqref="K1:K1048576">
    <cfRule type="cellIs" dxfId="32" priority="4" operator="equal">
      <formula>"DONE"</formula>
    </cfRule>
    <cfRule type="cellIs" dxfId="31" priority="5" operator="equal">
      <formula>"TO DO"</formula>
    </cfRule>
  </conditionalFormatting>
  <conditionalFormatting sqref="T1:T1048576">
    <cfRule type="cellIs" dxfId="30" priority="1" operator="equal">
      <formula>"On Time"</formula>
    </cfRule>
    <cfRule type="cellIs" dxfId="29" priority="2" operator="equal">
      <formula>" - "</formula>
    </cfRule>
    <cfRule type="cellIs" dxfId="28" priority="3" operator="equal">
      <formula>"Overdue"</formula>
    </cfRule>
  </conditionalFormatting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5" operator="equal" id="{505641A0-4CF8-4664-BA67-9684FF1EA119}">
            <xm:f>'[projec t.xlsm]Arkusz3'!#REF!</xm:f>
            <x14:dxf>
              <font>
                <b/>
                <i val="0"/>
                <color theme="0"/>
              </font>
              <fill>
                <patternFill>
                  <bgColor rgb="FFFF0000"/>
                </patternFill>
              </fill>
            </x14:dxf>
          </x14:cfRule>
          <x14:cfRule type="cellIs" priority="16" operator="equal" id="{687AF7C3-37EE-4EED-9427-37AE9801B08C}">
            <xm:f>'[projec t.xlsm]Arkusz3'!#REF!</xm:f>
            <x14:dxf>
              <fill>
                <patternFill>
                  <bgColor rgb="FFFF3B3B"/>
                </patternFill>
              </fill>
            </x14:dxf>
          </x14:cfRule>
          <x14:cfRule type="cellIs" priority="17" operator="equal" id="{DB1A49B8-D05B-4C5D-B45F-D2F34D9B8EF1}">
            <xm:f>'[projec t.xlsm]Arkusz3'!#REF!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ellIs" priority="19" operator="equal" id="{A3F0D424-672A-47B7-BCB1-18BD73F2328A}">
            <xm:f>'[projec t.xlsm]Arkusz3'!#REF!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</xm:sqref>
        </x14:conditionalFormatting>
        <x14:conditionalFormatting xmlns:xm="http://schemas.microsoft.com/office/excel/2006/main">
          <x14:cfRule type="cellIs" priority="14" operator="equal" id="{F29C6C33-075D-452C-82E6-7DD28105D256}">
            <xm:f>'[projec t.xlsm]Arkusz3'!#REF!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16</vt:i4>
      </vt:variant>
    </vt:vector>
  </HeadingPairs>
  <TitlesOfParts>
    <vt:vector size="18" baseType="lpstr">
      <vt:lpstr>Requests</vt:lpstr>
      <vt:lpstr>2018</vt:lpstr>
      <vt:lpstr>Automatic_Material_Creation</vt:lpstr>
      <vt:lpstr>Automatic_Material_Modification</vt:lpstr>
      <vt:lpstr>Gmaster</vt:lpstr>
      <vt:lpstr>Just_for_Information</vt:lpstr>
      <vt:lpstr>Manual_Material_Creation</vt:lpstr>
      <vt:lpstr>Manual_Material_Modification</vt:lpstr>
      <vt:lpstr>Material_Extension</vt:lpstr>
      <vt:lpstr>PiR_Adjustment_update_vendor_batch</vt:lpstr>
      <vt:lpstr>PiR_via_AMC</vt:lpstr>
      <vt:lpstr>Preferential</vt:lpstr>
      <vt:lpstr>Procesor</vt:lpstr>
      <vt:lpstr>Request_for_Information</vt:lpstr>
      <vt:lpstr>Sales_BOMs</vt:lpstr>
      <vt:lpstr>Time</vt:lpstr>
      <vt:lpstr>Types_of_requests</vt:lpstr>
      <vt:lpstr>TypesOfError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</dc:creator>
  <cp:lastModifiedBy>Użytkownik systemu Windows</cp:lastModifiedBy>
  <dcterms:created xsi:type="dcterms:W3CDTF">2018-03-08T19:24:35Z</dcterms:created>
  <dcterms:modified xsi:type="dcterms:W3CDTF">2018-12-07T17:35:40Z</dcterms:modified>
</cp:coreProperties>
</file>